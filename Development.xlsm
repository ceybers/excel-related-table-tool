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related-table-tool\"/>
    </mc:Choice>
  </mc:AlternateContent>
  <xr:revisionPtr revIDLastSave="0" documentId="13_ncr:1_{49B14E1F-702B-47EE-8101-F5BB2A259165}" xr6:coauthVersionLast="47" xr6:coauthVersionMax="47" xr10:uidLastSave="{00000000-0000-0000-0000-000000000000}"/>
  <bookViews>
    <workbookView xWindow="-120" yWindow="-120" windowWidth="29040" windowHeight="15840" xr2:uid="{5CAB9D1E-0025-4769-9176-3D72457BF232}"/>
  </bookViews>
  <sheets>
    <sheet name="Sheet1" sheetId="1" r:id="rId1"/>
    <sheet name="testHighlights" sheetId="2" r:id="rId2"/>
  </sheets>
  <externalReferences>
    <externalReference r:id="rId3"/>
  </externalReferences>
  <definedNames>
    <definedName name="relTblExternalRange" localSheetId="0">[1]Sheet1!$E$2:$E$51</definedName>
    <definedName name="relTblKeyColumn" localSheetId="0">Sheet1!$A$2:$A$6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C2" i="1"/>
  <c r="C3" i="1"/>
  <c r="C4" i="1"/>
  <c r="C5" i="1"/>
  <c r="C6" i="1"/>
  <c r="B2" i="1"/>
  <c r="B3" i="1"/>
  <c r="B4" i="1"/>
  <c r="B5" i="1"/>
  <c r="B6" i="1"/>
</calcChain>
</file>

<file path=xl/sharedStrings.xml><?xml version="1.0" encoding="utf-8"?>
<sst xmlns="http://schemas.openxmlformats.org/spreadsheetml/2006/main" count="14" uniqueCount="14">
  <si>
    <t>CAN/ZGGG</t>
  </si>
  <si>
    <t>ATL/KATL</t>
  </si>
  <si>
    <t>CTU/ZUUU</t>
  </si>
  <si>
    <t>Code</t>
  </si>
  <si>
    <t>Total passengers</t>
  </si>
  <si>
    <t>DFW/KDFW</t>
  </si>
  <si>
    <t>SZX/ZGSZ</t>
  </si>
  <si>
    <t>Additions</t>
  </si>
  <si>
    <t>Matches</t>
  </si>
  <si>
    <t>Removals</t>
  </si>
  <si>
    <t>New Key</t>
  </si>
  <si>
    <t>OK OK</t>
  </si>
  <si>
    <t>Country</t>
  </si>
  <si>
    <t>Airport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</si>
</sst>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darkUp">
        <fgColor theme="0"/>
        <bgColor rgb="FFFFCCFF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 applyAlignment="1"/>
    <xf numFmtId="0" fontId="0" fillId="2" borderId="0" xfId="0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NumberFormat="1" applyAlignment="1"/>
  </cellXfs>
  <cellStyles count="1">
    <cellStyle name="Normal" xfId="0" builtinId="0"/>
  </cellStyles>
  <dxfs count="3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390525</xdr:colOff>
          <xdr:row>7</xdr:row>
          <xdr:rowOff>171450</xdr:rowOff>
        </xdr:from>
        <xdr:to>
          <xdr:col>1</xdr:col>
          <xdr:colOff>180975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9</xdr:row>
          <xdr:rowOff>133350</xdr:rowOff>
        </xdr:from>
        <xdr:to>
          <xdr:col>1</xdr:col>
          <xdr:colOff>161925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RMB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China</v>
          </cell>
          <cell r="C2" t="str">
            <v>Guangzhou Baiyun International Airport</v>
          </cell>
          <cell r="E2" t="str">
            <v>CAN/ZGGG</v>
          </cell>
          <cell r="F2">
            <v>43760427</v>
          </cell>
        </row>
        <row r="3">
          <cell r="A3" t="str">
            <v>United States</v>
          </cell>
          <cell r="C3" t="str">
            <v>Hartsfield–Jackson Atlanta International Airport</v>
          </cell>
          <cell r="E3" t="str">
            <v>ATL/KATL</v>
          </cell>
          <cell r="F3">
            <v>42918685</v>
          </cell>
        </row>
        <row r="4">
          <cell r="A4" t="str">
            <v>China</v>
          </cell>
          <cell r="C4" t="str">
            <v>Chengdu Shuangliu International Airport</v>
          </cell>
          <cell r="E4" t="str">
            <v>CTU/ZUUU</v>
          </cell>
          <cell r="F4">
            <v>40741509</v>
          </cell>
        </row>
        <row r="5">
          <cell r="A5" t="str">
            <v>United States</v>
          </cell>
          <cell r="C5" t="str">
            <v>Dallas/Fort Worth International Airport</v>
          </cell>
          <cell r="E5" t="str">
            <v>DFW/KDFW</v>
          </cell>
          <cell r="F5">
            <v>39364990</v>
          </cell>
        </row>
        <row r="6">
          <cell r="A6" t="str">
            <v>China</v>
          </cell>
          <cell r="C6" t="str">
            <v>Shenzhen Bao'an International Airport</v>
          </cell>
          <cell r="E6" t="str">
            <v>SZX/ZGSZ</v>
          </cell>
          <cell r="F6">
            <v>37916059</v>
          </cell>
        </row>
        <row r="7">
          <cell r="A7" t="str">
            <v>China</v>
          </cell>
          <cell r="C7" t="str">
            <v>Chongqing Jiangbei International Airport</v>
          </cell>
          <cell r="E7" t="str">
            <v>CKG/ZUCK</v>
          </cell>
          <cell r="F7">
            <v>34937789</v>
          </cell>
        </row>
        <row r="8">
          <cell r="A8" t="str">
            <v>China</v>
          </cell>
          <cell r="C8" t="str">
            <v>Beijing Capital International Airport</v>
          </cell>
          <cell r="E8" t="str">
            <v>PEK/ZBAA</v>
          </cell>
          <cell r="F8">
            <v>34513827</v>
          </cell>
        </row>
        <row r="9">
          <cell r="A9" t="str">
            <v>United States</v>
          </cell>
          <cell r="C9" t="str">
            <v>Denver International Airport</v>
          </cell>
          <cell r="E9" t="str">
            <v>DEN/KDEN</v>
          </cell>
          <cell r="F9">
            <v>33741129</v>
          </cell>
        </row>
        <row r="10">
          <cell r="A10" t="str">
            <v>China</v>
          </cell>
          <cell r="C10" t="str">
            <v>Kunming Changshui International Airport</v>
          </cell>
          <cell r="E10" t="str">
            <v>KMG/ZPPP</v>
          </cell>
          <cell r="F10">
            <v>32989127</v>
          </cell>
        </row>
        <row r="11">
          <cell r="A11" t="str">
            <v>China</v>
          </cell>
          <cell r="C11" t="str">
            <v>Shanghai Hongqiao International Airport</v>
          </cell>
          <cell r="E11" t="str">
            <v>SHA/ZSSS</v>
          </cell>
          <cell r="F11">
            <v>31165641</v>
          </cell>
        </row>
        <row r="12">
          <cell r="A12" t="str">
            <v>China</v>
          </cell>
          <cell r="C12" t="str">
            <v>Xi'an Xianyang International Airport</v>
          </cell>
          <cell r="E12" t="str">
            <v>XIY/ZLXY</v>
          </cell>
          <cell r="F12">
            <v>31073884</v>
          </cell>
        </row>
        <row r="13">
          <cell r="A13" t="str">
            <v>Japan</v>
          </cell>
          <cell r="C13" t="str">
            <v>Tokyo Haneda Airport</v>
          </cell>
          <cell r="E13" t="str">
            <v>HND/RJTT</v>
          </cell>
          <cell r="F13">
            <v>30965027</v>
          </cell>
        </row>
        <row r="14">
          <cell r="A14" t="str">
            <v>United States</v>
          </cell>
          <cell r="C14" t="str">
            <v>O'Hare International Airport</v>
          </cell>
          <cell r="E14" t="str">
            <v>ORD/KORD</v>
          </cell>
          <cell r="F14">
            <v>30860251</v>
          </cell>
        </row>
        <row r="15">
          <cell r="A15" t="str">
            <v>China</v>
          </cell>
          <cell r="C15" t="str">
            <v>Shanghai Pudong International Airport</v>
          </cell>
          <cell r="E15" t="str">
            <v>PVG/ZSPD</v>
          </cell>
          <cell r="F15">
            <v>30476531</v>
          </cell>
        </row>
        <row r="16">
          <cell r="A16" t="str">
            <v>United States</v>
          </cell>
          <cell r="C16" t="str">
            <v>Los Angeles International Airport</v>
          </cell>
          <cell r="E16" t="str">
            <v>LAX/KLAX</v>
          </cell>
          <cell r="F16">
            <v>28779527</v>
          </cell>
        </row>
        <row r="17">
          <cell r="A17" t="str">
            <v>India</v>
          </cell>
          <cell r="C17" t="str">
            <v>Indira Gandhi International Airport</v>
          </cell>
          <cell r="E17" t="str">
            <v>DEL/VIDP</v>
          </cell>
          <cell r="F17">
            <v>28501000</v>
          </cell>
        </row>
        <row r="18">
          <cell r="A18" t="str">
            <v>China</v>
          </cell>
          <cell r="C18" t="str">
            <v>Hangzhou Xiaoshan International Airport</v>
          </cell>
          <cell r="E18" t="str">
            <v>HGH/ZSHC</v>
          </cell>
          <cell r="F18">
            <v>28224342</v>
          </cell>
        </row>
        <row r="19">
          <cell r="A19" t="str">
            <v>United States</v>
          </cell>
          <cell r="C19" t="str">
            <v>Charlotte Douglas International Airport</v>
          </cell>
          <cell r="E19" t="str">
            <v>CLT/KCLT</v>
          </cell>
          <cell r="F19">
            <v>27200000</v>
          </cell>
        </row>
        <row r="20">
          <cell r="A20" t="str">
            <v>United Arab Emirates</v>
          </cell>
          <cell r="C20" t="str">
            <v>Dubai International Airport</v>
          </cell>
          <cell r="E20" t="str">
            <v>DXB/OMDB</v>
          </cell>
          <cell r="F20">
            <v>25900000</v>
          </cell>
        </row>
        <row r="21">
          <cell r="A21" t="str">
            <v>Turkey</v>
          </cell>
          <cell r="C21" t="str">
            <v>Istanbul Airport</v>
          </cell>
          <cell r="E21" t="str">
            <v>IST/LTFM</v>
          </cell>
          <cell r="F21">
            <v>23409000</v>
          </cell>
        </row>
        <row r="22">
          <cell r="A22" t="str">
            <v>France</v>
          </cell>
          <cell r="C22" t="str">
            <v>Charles de Gaulle Airport</v>
          </cell>
          <cell r="E22" t="str">
            <v>CDG/LFPG</v>
          </cell>
          <cell r="F22">
            <v>22257469</v>
          </cell>
        </row>
        <row r="23">
          <cell r="A23" t="str">
            <v>United Kingdom</v>
          </cell>
          <cell r="C23" t="str">
            <v>Heathrow Airport</v>
          </cell>
          <cell r="E23" t="str">
            <v>LHR/EGLL</v>
          </cell>
          <cell r="F23">
            <v>22109726</v>
          </cell>
        </row>
        <row r="24">
          <cell r="A24" t="str">
            <v>Mexico</v>
          </cell>
          <cell r="C24" t="str">
            <v>Mexico City International Airport</v>
          </cell>
          <cell r="E24" t="str">
            <v>MEX/MMMX</v>
          </cell>
          <cell r="F24">
            <v>21981711</v>
          </cell>
        </row>
        <row r="25">
          <cell r="A25" t="str">
            <v>United States</v>
          </cell>
          <cell r="C25" t="str">
            <v>Phoenix Sky Harbor International Airport</v>
          </cell>
          <cell r="E25" t="str">
            <v>PHX/KPHX</v>
          </cell>
          <cell r="F25">
            <v>21928708</v>
          </cell>
        </row>
        <row r="26">
          <cell r="A26" t="str">
            <v>Vietnam</v>
          </cell>
          <cell r="C26" t="str">
            <v>Tan Son Nhat International Airport</v>
          </cell>
          <cell r="E26" t="str">
            <v>SGN/VVTS</v>
          </cell>
          <cell r="F26">
            <v>21900000</v>
          </cell>
        </row>
        <row r="27">
          <cell r="A27" t="str">
            <v>United States</v>
          </cell>
          <cell r="C27" t="str">
            <v>Orlando International Airport</v>
          </cell>
          <cell r="E27" t="str">
            <v>MCO/KMCO</v>
          </cell>
          <cell r="F27">
            <v>21617803</v>
          </cell>
        </row>
        <row r="28">
          <cell r="A28" t="str">
            <v>China</v>
          </cell>
          <cell r="C28" t="str">
            <v>Zhengzhou Xinzheng International Airport</v>
          </cell>
          <cell r="E28" t="str">
            <v>CGO/ZHCC</v>
          </cell>
          <cell r="F28">
            <v>21406709</v>
          </cell>
        </row>
        <row r="29">
          <cell r="A29" t="str">
            <v>South Korea</v>
          </cell>
          <cell r="C29" t="str">
            <v>Jeju International Airport</v>
          </cell>
          <cell r="E29" t="str">
            <v>CJU/RKPC</v>
          </cell>
          <cell r="F29">
            <v>21054696</v>
          </cell>
        </row>
        <row r="30">
          <cell r="A30" t="str">
            <v>Netherlands</v>
          </cell>
          <cell r="C30" t="str">
            <v>Amsterdam Airport Schiphol</v>
          </cell>
          <cell r="E30" t="str">
            <v>AMS/EHAM</v>
          </cell>
          <cell r="F30">
            <v>20887174</v>
          </cell>
        </row>
        <row r="31">
          <cell r="A31" t="str">
            <v>Brazil</v>
          </cell>
          <cell r="C31" t="str">
            <v>São Paulo/Guarulhos International Airport</v>
          </cell>
          <cell r="E31" t="str">
            <v>GRU/SBGR</v>
          </cell>
          <cell r="F31">
            <v>20322520</v>
          </cell>
        </row>
        <row r="32">
          <cell r="A32" t="str">
            <v>United States</v>
          </cell>
          <cell r="C32" t="str">
            <v>Seattle–Tacoma International Airport</v>
          </cell>
          <cell r="E32" t="str">
            <v>SEA/KSEA</v>
          </cell>
          <cell r="F32">
            <v>20061507</v>
          </cell>
        </row>
        <row r="33">
          <cell r="A33" t="str">
            <v>China</v>
          </cell>
          <cell r="C33" t="str">
            <v>Nanjing Lukou International Airport</v>
          </cell>
          <cell r="E33" t="str">
            <v>NKG/ZSNJ</v>
          </cell>
          <cell r="F33">
            <v>19906576</v>
          </cell>
        </row>
        <row r="34">
          <cell r="A34" t="str">
            <v>Russia</v>
          </cell>
          <cell r="C34" t="str">
            <v>Sheremetyevo International Airport</v>
          </cell>
          <cell r="E34" t="str">
            <v>SVO/UUEE</v>
          </cell>
          <cell r="F34">
            <v>19784000</v>
          </cell>
        </row>
        <row r="35">
          <cell r="A35" t="str">
            <v>China</v>
          </cell>
          <cell r="C35" t="str">
            <v>Changsha Huanghua International Airport</v>
          </cell>
          <cell r="E35" t="str">
            <v>CSX/ZGHA</v>
          </cell>
          <cell r="F35">
            <v>19223825</v>
          </cell>
        </row>
        <row r="36">
          <cell r="A36" t="str">
            <v>Germany</v>
          </cell>
          <cell r="C36" t="str">
            <v>Frankfurt Airport</v>
          </cell>
          <cell r="E36" t="str">
            <v>FRA/EDDF</v>
          </cell>
          <cell r="F36">
            <v>18770998</v>
          </cell>
        </row>
        <row r="37">
          <cell r="A37" t="str">
            <v>United States</v>
          </cell>
          <cell r="C37" t="str">
            <v>Miami International Airport</v>
          </cell>
          <cell r="E37" t="str">
            <v>MIA/KMIA</v>
          </cell>
          <cell r="F37">
            <v>18663858</v>
          </cell>
        </row>
        <row r="38">
          <cell r="A38" t="str">
            <v>United States</v>
          </cell>
          <cell r="C38" t="str">
            <v>George Bush Intercontinental Airport</v>
          </cell>
          <cell r="E38" t="str">
            <v>IAH/KIAH</v>
          </cell>
          <cell r="F38">
            <v>18213571</v>
          </cell>
        </row>
        <row r="39">
          <cell r="A39" t="str">
            <v>South Korea</v>
          </cell>
          <cell r="C39" t="str">
            <v>Gimpo International Airport</v>
          </cell>
          <cell r="E39" t="str">
            <v>GMP/RKSS</v>
          </cell>
          <cell r="F39">
            <v>17446239</v>
          </cell>
        </row>
        <row r="40">
          <cell r="A40" t="str">
            <v>Spain</v>
          </cell>
          <cell r="C40" t="str">
            <v>Madrid Barajas Airport</v>
          </cell>
          <cell r="E40" t="str">
            <v>MAD/LEMD</v>
          </cell>
          <cell r="F40">
            <v>17112000</v>
          </cell>
        </row>
        <row r="41">
          <cell r="A41" t="str">
            <v>Turkey</v>
          </cell>
          <cell r="C41" t="str">
            <v>Istanbul Sabiha Gökçen International Airport</v>
          </cell>
          <cell r="E41" t="str">
            <v>SAW/LTFJ</v>
          </cell>
          <cell r="F41">
            <v>16982456</v>
          </cell>
        </row>
        <row r="42">
          <cell r="A42" t="str">
            <v>China</v>
          </cell>
          <cell r="C42" t="str">
            <v>Xiamen Gaoqi International Airport</v>
          </cell>
          <cell r="E42" t="str">
            <v>XMN/ZSAM</v>
          </cell>
          <cell r="F42">
            <v>16710197</v>
          </cell>
        </row>
        <row r="43">
          <cell r="A43" t="str">
            <v>Thailand</v>
          </cell>
          <cell r="C43" t="str">
            <v>Suvarnabhumi Airport</v>
          </cell>
          <cell r="E43" t="str">
            <v>BKK/VTBS</v>
          </cell>
          <cell r="F43">
            <v>16706000</v>
          </cell>
        </row>
        <row r="44">
          <cell r="A44" t="str">
            <v>United States</v>
          </cell>
          <cell r="C44" t="str">
            <v>John F. Kennedy International Airport</v>
          </cell>
          <cell r="E44" t="str">
            <v>JFK/KJFK</v>
          </cell>
          <cell r="F44">
            <v>16630642</v>
          </cell>
        </row>
        <row r="45">
          <cell r="A45" t="str">
            <v>China</v>
          </cell>
          <cell r="C45" t="str">
            <v>Guiyang Longdongbao International Airport</v>
          </cell>
          <cell r="E45" t="str">
            <v>KWE/ZUGY</v>
          </cell>
          <cell r="F45">
            <v>16583878</v>
          </cell>
        </row>
        <row r="46">
          <cell r="A46" t="str">
            <v>China</v>
          </cell>
          <cell r="C46" t="str">
            <v>Haikou Meilan International Airport</v>
          </cell>
          <cell r="E46" t="str">
            <v>HAK/ZJHK</v>
          </cell>
          <cell r="F46">
            <v>16490216</v>
          </cell>
        </row>
        <row r="47">
          <cell r="A47" t="str">
            <v>United States</v>
          </cell>
          <cell r="C47" t="str">
            <v>Fort Lauderdale–Hollywood International Airport</v>
          </cell>
          <cell r="E47" t="str">
            <v>FLL/KFLL</v>
          </cell>
          <cell r="F47">
            <v>16484132</v>
          </cell>
        </row>
        <row r="48">
          <cell r="A48" t="str">
            <v>United States</v>
          </cell>
          <cell r="C48" t="str">
            <v>San Francisco International Airport</v>
          </cell>
          <cell r="E48" t="str">
            <v>SFO/KSFO</v>
          </cell>
          <cell r="F48">
            <v>16409625</v>
          </cell>
        </row>
        <row r="49">
          <cell r="A49" t="str">
            <v>Russia</v>
          </cell>
          <cell r="C49" t="str">
            <v>Moscow Domodedovo Airport</v>
          </cell>
          <cell r="E49" t="str">
            <v>DME/UUDD</v>
          </cell>
          <cell r="F49">
            <v>16300000</v>
          </cell>
        </row>
        <row r="50">
          <cell r="A50" t="str">
            <v>China</v>
          </cell>
          <cell r="C50" t="str">
            <v>Beijing Daxing International Airport</v>
          </cell>
          <cell r="E50" t="str">
            <v>PKX/ZBAD</v>
          </cell>
          <cell r="F50">
            <v>16091449</v>
          </cell>
        </row>
        <row r="51">
          <cell r="A51" t="str">
            <v>United States</v>
          </cell>
          <cell r="C51" t="str">
            <v>Newark Liberty International Airport</v>
          </cell>
          <cell r="E51" t="str">
            <v>EWR/KEWR</v>
          </cell>
          <cell r="F51">
            <v>15892892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642805-BA22-40DE-9E49-CC89D9CEE2EA}" name="Table1" displayName="Table1" ref="A1:D6" totalsRowShown="0">
  <autoFilter ref="A1:D6" xr:uid="{3B642805-BA22-40DE-9E49-CC89D9CEE2EA}"/>
  <tableColumns count="4">
    <tableColumn id="1" xr3:uid="{D2AAEF84-713E-4A79-AF7E-CEB24039AEF3}" name="Code"/>
    <tableColumn id="4" xr3:uid="{8EDA648E-A665-40D6-B105-809F17CF2B06}" name="Total passengers" dataDxfId="2">
      <calculatedColumnFormula>IFERROR(INDEX([1]Sheet1!$F$2:$F$51,MATCH(Table1[[#This Row],[Code]], [1]Sheet1!$E$2:$E$51, 0)),"")</calculatedColumnFormula>
    </tableColumn>
    <tableColumn id="2" xr3:uid="{C2A1C286-571F-4A70-947D-0E708141EBE6}" name="Country" dataDxfId="1">
      <calculatedColumnFormula>IFERROR(INDEX([1]Sheet1!$A$2:$A$51,MATCH(Table1[[#This Row],[Code]], [1]Sheet1!$E$2:$E$51, 0)),"")</calculatedColumnFormula>
    </tableColumn>
    <tableColumn id="3" xr3:uid="{3825BEFB-5122-4DAB-A229-FE7A7E28F420}" name="Airport" dataDxfId="0">
      <calculatedColumnFormula>IFERROR(INDEX([1]Sheet1!$C$2:$C$51,MATCH(Table1[[#This Row],[Code]], [1]Sheet1!$E$2:$E$51,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818D-CAD8-4719-AD26-F0CECE2EB0AA}">
  <sheetPr codeName="Sheet1"/>
  <dimension ref="A1:D6"/>
  <sheetViews>
    <sheetView tabSelected="1" workbookViewId="0">
      <selection activeCell="B5" sqref="B5"/>
    </sheetView>
  </sheetViews>
  <sheetFormatPr defaultRowHeight="15" x14ac:dyDescent="0.25"/>
  <cols>
    <col min="1" max="1" width="15.7109375" customWidth="1"/>
    <col min="2" max="2" width="34.42578125" customWidth="1"/>
    <col min="3" max="3" width="24.7109375" customWidth="1"/>
    <col min="4" max="4" width="21.42578125" customWidth="1"/>
  </cols>
  <sheetData>
    <row r="1" spans="1:4" x14ac:dyDescent="0.25">
      <c r="A1" t="s">
        <v>3</v>
      </c>
      <c r="B1" t="s">
        <v>4</v>
      </c>
      <c r="C1" t="s">
        <v>12</v>
      </c>
      <c r="D1" t="s">
        <v>13</v>
      </c>
    </row>
    <row r="2" spans="1:4" x14ac:dyDescent="0.25">
      <c r="A2" t="s">
        <v>0</v>
      </c>
      <c r="B2" s="1">
        <f>IFERROR(INDEX([1]Sheet1!$F$2:$F$51,MATCH(Table1[[#This Row],[Code]], [1]Sheet1!$E$2:$E$51, 0)),"")</f>
        <v>43760427</v>
      </c>
      <c r="C2" s="5" t="str">
        <f>IFERROR(INDEX([1]Sheet1!$A$2:$A$51,MATCH(Table1[[#This Row],[Code]], [1]Sheet1!$E$2:$E$51, 0)),"")</f>
        <v>China</v>
      </c>
      <c r="D2" s="5" t="str">
        <f>IFERROR(INDEX([1]Sheet1!$C$2:$C$51,MATCH(Table1[[#This Row],[Code]], [1]Sheet1!$E$2:$E$51, 0)),"")</f>
        <v>Guangzhou Baiyun International Airport</v>
      </c>
    </row>
    <row r="3" spans="1:4" x14ac:dyDescent="0.25">
      <c r="A3" t="s">
        <v>1</v>
      </c>
      <c r="B3" s="1">
        <f>IFERROR(INDEX([1]Sheet1!$F$2:$F$51,MATCH(Table1[[#This Row],[Code]], [1]Sheet1!$E$2:$E$51, 0)),"")</f>
        <v>42918685</v>
      </c>
      <c r="C3" s="5" t="str">
        <f>IFERROR(INDEX([1]Sheet1!$A$2:$A$51,MATCH(Table1[[#This Row],[Code]], [1]Sheet1!$E$2:$E$51, 0)),"")</f>
        <v>United States</v>
      </c>
      <c r="D3" s="5" t="str">
        <f>IFERROR(INDEX([1]Sheet1!$C$2:$C$51,MATCH(Table1[[#This Row],[Code]], [1]Sheet1!$E$2:$E$51, 0)),"")</f>
        <v>Hartsfield–Jackson Atlanta International Airport</v>
      </c>
    </row>
    <row r="4" spans="1:4" x14ac:dyDescent="0.25">
      <c r="A4" t="s">
        <v>2</v>
      </c>
      <c r="B4" s="1">
        <f>IFERROR(INDEX([1]Sheet1!$F$2:$F$51,MATCH(Table1[[#This Row],[Code]], [1]Sheet1!$E$2:$E$51, 0)),"")</f>
        <v>40741509</v>
      </c>
      <c r="C4" s="5" t="str">
        <f>IFERROR(INDEX([1]Sheet1!$A$2:$A$51,MATCH(Table1[[#This Row],[Code]], [1]Sheet1!$E$2:$E$51, 0)),"")</f>
        <v>China</v>
      </c>
      <c r="D4" s="5" t="str">
        <f>IFERROR(INDEX([1]Sheet1!$C$2:$C$51,MATCH(Table1[[#This Row],[Code]], [1]Sheet1!$E$2:$E$51, 0)),"")</f>
        <v>Chengdu Shuangliu International Airport</v>
      </c>
    </row>
    <row r="5" spans="1:4" x14ac:dyDescent="0.25">
      <c r="A5" t="s">
        <v>5</v>
      </c>
      <c r="B5" s="1">
        <f>IFERROR(INDEX([1]Sheet1!$F$2:$F$51,MATCH(Table1[[#This Row],[Code]], [1]Sheet1!$E$2:$E$51, 0)),"")</f>
        <v>39364990</v>
      </c>
      <c r="C5" s="5" t="str">
        <f>IFERROR(INDEX([1]Sheet1!$A$2:$A$51,MATCH(Table1[[#This Row],[Code]], [1]Sheet1!$E$2:$E$51, 0)),"")</f>
        <v>United States</v>
      </c>
      <c r="D5" s="5" t="str">
        <f>IFERROR(INDEX([1]Sheet1!$C$2:$C$51,MATCH(Table1[[#This Row],[Code]], [1]Sheet1!$E$2:$E$51, 0)),"")</f>
        <v>Dallas/Fort Worth International Airport</v>
      </c>
    </row>
    <row r="6" spans="1:4" x14ac:dyDescent="0.25">
      <c r="A6" t="s">
        <v>6</v>
      </c>
      <c r="B6" s="1">
        <f>IFERROR(INDEX([1]Sheet1!$F$2:$F$51,MATCH(Table1[[#This Row],[Code]], [1]Sheet1!$E$2:$E$51, 0)),"")</f>
        <v>37916059</v>
      </c>
      <c r="C6" s="5" t="str">
        <f>IFERROR(INDEX([1]Sheet1!$A$2:$A$51,MATCH(Table1[[#This Row],[Code]], [1]Sheet1!$E$2:$E$51, 0)),"")</f>
        <v>China</v>
      </c>
      <c r="D6" s="5" t="str">
        <f>IFERROR(INDEX([1]Sheet1!$C$2:$C$51,MATCH(Table1[[#This Row],[Code]], [1]Sheet1!$E$2:$E$51, 0)),"")</f>
        <v>Shenzhen Bao'an International Airport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>
                  <from>
                    <xdr:col>0</xdr:col>
                    <xdr:colOff>390525</xdr:colOff>
                    <xdr:row>7</xdr:row>
                    <xdr:rowOff>171450</xdr:rowOff>
                  </from>
                  <to>
                    <xdr:col>1</xdr:col>
                    <xdr:colOff>180975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Macro">
                <anchor>
                  <from>
                    <xdr:col>0</xdr:col>
                    <xdr:colOff>371475</xdr:colOff>
                    <xdr:row>9</xdr:row>
                    <xdr:rowOff>133350</xdr:rowOff>
                  </from>
                  <to>
                    <xdr:col>1</xdr:col>
                    <xdr:colOff>161925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380F1-DBB8-4C88-9255-E35DA0118C97}">
  <sheetPr codeName="Sheet2"/>
  <dimension ref="B2:D6"/>
  <sheetViews>
    <sheetView workbookViewId="0">
      <selection activeCell="E10" sqref="E10"/>
    </sheetView>
  </sheetViews>
  <sheetFormatPr defaultRowHeight="15" x14ac:dyDescent="0.25"/>
  <cols>
    <col min="2" max="2" width="12.85546875" customWidth="1"/>
  </cols>
  <sheetData>
    <row r="2" spans="2:4" x14ac:dyDescent="0.25">
      <c r="B2" t="s">
        <v>7</v>
      </c>
      <c r="D2" s="4" t="s">
        <v>10</v>
      </c>
    </row>
    <row r="4" spans="2:4" x14ac:dyDescent="0.25">
      <c r="B4" t="s">
        <v>8</v>
      </c>
      <c r="D4" s="3" t="s">
        <v>11</v>
      </c>
    </row>
    <row r="6" spans="2:4" x14ac:dyDescent="0.25">
      <c r="B6" t="s">
        <v>9</v>
      </c>
      <c r="D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testHighlights</vt:lpstr>
      <vt:lpstr>Sheet1!relTblKeyColumn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2022-01-18T16:01:19Z</dcterms:created>
  <dcterms:modified xsi:type="dcterms:W3CDTF">2022-01-20T09:06:25Z</dcterms:modified>
</cp:coreProperties>
</file>